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02\PTY4614 Capstone Informática\Fase 3\PTY4614-001D\"/>
    </mc:Choice>
  </mc:AlternateContent>
  <xr:revisionPtr revIDLastSave="0" documentId="13_ncr:1_{07F7E937-EEA2-41AB-951A-14CFC66F6C4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1" i="1" l="1"/>
  <c r="B57" i="1"/>
  <c r="B56" i="1"/>
  <c r="B55" i="1"/>
  <c r="B54" i="1"/>
  <c r="B53" i="1"/>
  <c r="B52" i="1"/>
  <c r="B51" i="1"/>
  <c r="B109" i="1"/>
  <c r="B108" i="1"/>
  <c r="B107" i="1"/>
  <c r="B106" i="1"/>
  <c r="B105" i="1"/>
  <c r="B104" i="1"/>
  <c r="B97" i="1"/>
  <c r="B96" i="1"/>
  <c r="B95" i="1"/>
  <c r="B94" i="1"/>
  <c r="B93" i="1"/>
  <c r="B92" i="1"/>
  <c r="B91" i="1"/>
  <c r="B103" i="1"/>
  <c r="B101" i="1"/>
  <c r="B49" i="1"/>
  <c r="B37" i="1"/>
  <c r="J109" i="1"/>
  <c r="K109" i="1" s="1"/>
  <c r="H109" i="1"/>
  <c r="I109" i="1" s="1"/>
  <c r="F109" i="1"/>
  <c r="G109" i="1" s="1"/>
  <c r="E109" i="1"/>
  <c r="J108" i="1"/>
  <c r="K108" i="1" s="1"/>
  <c r="H108" i="1"/>
  <c r="I108" i="1" s="1"/>
  <c r="G108" i="1"/>
  <c r="E108" i="1"/>
  <c r="J107" i="1"/>
  <c r="K107" i="1" s="1"/>
  <c r="H107" i="1"/>
  <c r="I107" i="1" s="1"/>
  <c r="G107" i="1"/>
  <c r="F107" i="1"/>
  <c r="D107" i="1"/>
  <c r="E107" i="1" s="1"/>
  <c r="J106" i="1"/>
  <c r="K106" i="1" s="1"/>
  <c r="I106" i="1"/>
  <c r="H106" i="1"/>
  <c r="G106" i="1"/>
  <c r="F106" i="1"/>
  <c r="D106" i="1"/>
  <c r="E106" i="1" s="1"/>
  <c r="J105" i="1"/>
  <c r="K105" i="1" s="1"/>
  <c r="H105" i="1"/>
  <c r="I105" i="1" s="1"/>
  <c r="G105" i="1"/>
  <c r="E105" i="1"/>
  <c r="J104" i="1"/>
  <c r="K104" i="1" s="1"/>
  <c r="H104" i="1"/>
  <c r="I104" i="1" s="1"/>
  <c r="G104" i="1"/>
  <c r="F104" i="1"/>
  <c r="D104" i="1"/>
  <c r="E104" i="1" s="1"/>
  <c r="J103" i="1"/>
  <c r="K103" i="1" s="1"/>
  <c r="H103" i="1"/>
  <c r="I103" i="1" s="1"/>
  <c r="G103" i="1"/>
  <c r="E103" i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G56" i="1"/>
  <c r="F56" i="1"/>
  <c r="D56" i="1"/>
  <c r="E56" i="1" s="1"/>
  <c r="J55" i="1"/>
  <c r="K55" i="1" s="1"/>
  <c r="H55" i="1"/>
  <c r="I55" i="1" s="1"/>
  <c r="G55" i="1"/>
  <c r="F55" i="1"/>
  <c r="D55" i="1"/>
  <c r="E55" i="1" s="1"/>
  <c r="J54" i="1"/>
  <c r="K54" i="1" s="1"/>
  <c r="I54" i="1"/>
  <c r="H54" i="1"/>
  <c r="G54" i="1"/>
  <c r="F54" i="1"/>
  <c r="D54" i="1"/>
  <c r="E54" i="1" s="1"/>
  <c r="J53" i="1"/>
  <c r="K53" i="1" s="1"/>
  <c r="H53" i="1"/>
  <c r="I53" i="1" s="1"/>
  <c r="G53" i="1"/>
  <c r="E53" i="1"/>
  <c r="J52" i="1"/>
  <c r="K52" i="1" s="1"/>
  <c r="H52" i="1"/>
  <c r="I52" i="1" s="1"/>
  <c r="G52" i="1"/>
  <c r="F52" i="1"/>
  <c r="D52" i="1"/>
  <c r="E52" i="1" s="1"/>
  <c r="J51" i="1"/>
  <c r="K51" i="1" s="1"/>
  <c r="K58" i="1" s="1"/>
  <c r="H51" i="1"/>
  <c r="I51" i="1" s="1"/>
  <c r="G51" i="1"/>
  <c r="E51" i="1"/>
  <c r="E58" i="1" l="1"/>
  <c r="K110" i="1"/>
  <c r="G110" i="1"/>
  <c r="E110" i="1"/>
  <c r="I110" i="1"/>
  <c r="I58" i="1"/>
  <c r="G58" i="1"/>
  <c r="C58" i="1" l="1"/>
  <c r="C59" i="1" s="1"/>
  <c r="C7" i="1" s="1"/>
  <c r="C110" i="1"/>
  <c r="C111" i="1" s="1"/>
  <c r="D7" i="1" s="1"/>
  <c r="E7" i="1" l="1"/>
  <c r="B89" i="1"/>
  <c r="B76" i="1"/>
  <c r="B63" i="1"/>
  <c r="B79" i="1"/>
  <c r="B80" i="1"/>
  <c r="B81" i="1"/>
  <c r="B82" i="1"/>
  <c r="B83" i="1"/>
  <c r="B84" i="1"/>
  <c r="B78" i="1"/>
  <c r="J97" i="1"/>
  <c r="K97" i="1" s="1"/>
  <c r="H97" i="1"/>
  <c r="I97" i="1" s="1"/>
  <c r="F97" i="1"/>
  <c r="G97" i="1" s="1"/>
  <c r="D97" i="1"/>
  <c r="E97" i="1" s="1"/>
  <c r="J96" i="1"/>
  <c r="K96" i="1" s="1"/>
  <c r="H96" i="1"/>
  <c r="I96" i="1" s="1"/>
  <c r="F96" i="1"/>
  <c r="G96" i="1" s="1"/>
  <c r="D96" i="1"/>
  <c r="E96" i="1" s="1"/>
  <c r="J95" i="1"/>
  <c r="K95" i="1" s="1"/>
  <c r="H95" i="1"/>
  <c r="I95" i="1" s="1"/>
  <c r="F95" i="1"/>
  <c r="G95" i="1" s="1"/>
  <c r="D95" i="1"/>
  <c r="E95" i="1" s="1"/>
  <c r="J94" i="1"/>
  <c r="K94" i="1" s="1"/>
  <c r="H94" i="1"/>
  <c r="I94" i="1" s="1"/>
  <c r="F94" i="1"/>
  <c r="G94" i="1" s="1"/>
  <c r="D94" i="1"/>
  <c r="E94" i="1" s="1"/>
  <c r="J93" i="1"/>
  <c r="K93" i="1" s="1"/>
  <c r="H93" i="1"/>
  <c r="I93" i="1" s="1"/>
  <c r="G93" i="1"/>
  <c r="E93" i="1"/>
  <c r="J92" i="1"/>
  <c r="K92" i="1" s="1"/>
  <c r="H92" i="1"/>
  <c r="I92" i="1" s="1"/>
  <c r="F92" i="1"/>
  <c r="G92" i="1" s="1"/>
  <c r="D92" i="1"/>
  <c r="E92" i="1" s="1"/>
  <c r="J91" i="1"/>
  <c r="K91" i="1" s="1"/>
  <c r="H91" i="1"/>
  <c r="I91" i="1" s="1"/>
  <c r="G91" i="1"/>
  <c r="E91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E81" i="1"/>
  <c r="J80" i="1"/>
  <c r="K80" i="1" s="1"/>
  <c r="H80" i="1"/>
  <c r="I80" i="1" s="1"/>
  <c r="G80" i="1"/>
  <c r="E80" i="1"/>
  <c r="J79" i="1"/>
  <c r="K79" i="1" s="1"/>
  <c r="H79" i="1"/>
  <c r="I79" i="1" s="1"/>
  <c r="F79" i="1"/>
  <c r="G79" i="1" s="1"/>
  <c r="D79" i="1"/>
  <c r="E79" i="1" s="1"/>
  <c r="J78" i="1"/>
  <c r="K78" i="1" s="1"/>
  <c r="H78" i="1"/>
  <c r="I78" i="1" s="1"/>
  <c r="G78" i="1"/>
  <c r="E78" i="1"/>
  <c r="B24" i="1"/>
  <c r="B11" i="1"/>
  <c r="B66" i="1"/>
  <c r="B67" i="1"/>
  <c r="B68" i="1"/>
  <c r="B69" i="1"/>
  <c r="B70" i="1"/>
  <c r="B71" i="1"/>
  <c r="B65" i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H69" i="1"/>
  <c r="I69" i="1" s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J67" i="1"/>
  <c r="K67" i="1" s="1"/>
  <c r="H67" i="1"/>
  <c r="I67" i="1" s="1"/>
  <c r="G67" i="1"/>
  <c r="E67" i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G65" i="1"/>
  <c r="E65" i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J44" i="1"/>
  <c r="K44" i="1" s="1"/>
  <c r="H44" i="1"/>
  <c r="I44" i="1" s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G41" i="1"/>
  <c r="E41" i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G39" i="1"/>
  <c r="E39" i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G29" i="1"/>
  <c r="E29" i="1"/>
  <c r="J28" i="1"/>
  <c r="K28" i="1" s="1"/>
  <c r="H28" i="1"/>
  <c r="I28" i="1" s="1"/>
  <c r="G28" i="1"/>
  <c r="E28" i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G26" i="1"/>
  <c r="E26" i="1"/>
  <c r="E85" i="1" l="1"/>
  <c r="G46" i="1"/>
  <c r="E33" i="1"/>
  <c r="G33" i="1"/>
  <c r="K98" i="1"/>
  <c r="E98" i="1"/>
  <c r="I98" i="1"/>
  <c r="G98" i="1"/>
  <c r="G85" i="1"/>
  <c r="I85" i="1"/>
  <c r="K85" i="1"/>
  <c r="E72" i="1"/>
  <c r="K72" i="1"/>
  <c r="G72" i="1"/>
  <c r="I72" i="1"/>
  <c r="K46" i="1"/>
  <c r="I46" i="1"/>
  <c r="E46" i="1"/>
  <c r="I33" i="1"/>
  <c r="K33" i="1"/>
  <c r="C33" i="1" l="1"/>
  <c r="C34" i="1" s="1"/>
  <c r="C5" i="1" s="1"/>
  <c r="C46" i="1"/>
  <c r="C47" i="1" s="1"/>
  <c r="C6" i="1" s="1"/>
  <c r="C85" i="1"/>
  <c r="C86" i="1" s="1"/>
  <c r="D5" i="1" s="1"/>
  <c r="C72" i="1"/>
  <c r="C73" i="1" s="1"/>
  <c r="D4" i="1" s="1"/>
  <c r="C98" i="1"/>
  <c r="C99" i="1" s="1"/>
  <c r="D6" i="1" s="1"/>
  <c r="B14" i="1" l="1"/>
  <c r="B15" i="1"/>
  <c r="B16" i="1"/>
  <c r="B17" i="1"/>
  <c r="B18" i="1"/>
  <c r="B19" i="1"/>
  <c r="E13" i="1" l="1"/>
  <c r="D14" i="1"/>
  <c r="E14" i="1" s="1"/>
  <c r="E15" i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G15" i="1"/>
  <c r="J14" i="1"/>
  <c r="H14" i="1"/>
  <c r="I14" i="1" s="1"/>
  <c r="F14" i="1"/>
  <c r="G14" i="1" s="1"/>
  <c r="J13" i="1"/>
  <c r="K13" i="1" s="1"/>
  <c r="H13" i="1"/>
  <c r="I13" i="1" s="1"/>
  <c r="G13" i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<sst xmlns="http://schemas.openxmlformats.org/spreadsheetml/2006/main" count="218" uniqueCount="69">
  <si>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</si>
  <si>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</si>
  <si>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</si>
  <si>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</si>
  <si>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</si>
  <si>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</si>
  <si>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</si>
  <si>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</si>
  <si>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</si>
  <si>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</si>
  <si>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</si>
  <si>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</si>
  <si>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</si>
  <si>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</si>
  <si>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</si>
  <si>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</si>
  <si>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</si>
  <si>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</si>
  <si>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</si>
  <si>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</si>
  <si>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</si>
  <si>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</si>
  <si>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</si>
  <si>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</si>
  <si>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</si>
  <si>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</si>
  <si>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</si>
  <si>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</si>
  <si>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</si>
  <si>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</si>
  <si>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</si>
  <si>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</si>
  <si>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</si>
  <si>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</si>
  <si>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</si>
  <si>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</si>
  <si>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</si>
  <si>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</si>
  <si>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</si>
  <si>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</si>
  <si>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</si>
  <si>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</si>
  <si>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</si>
  <si>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</si>
  <si>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</si>
  <si>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</si>
  <si>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</si>
  <si>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</si>
  <si>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</si>
  <si>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</si>
  <si>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</si>
  <si>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</si>
  <si>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</si>
  <si>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</si>
  <si>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</si>
  <si>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</si>
  <si>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</si>
  <si>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</si>
  <si>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</si>
  <si>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</si>
  <si>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</si>
  <si>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</si>
  <si>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</si>
  <si>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X</t>
  </si>
  <si>
    <t>DANIEL OSVALDO TEPANO ROMAN</t>
  </si>
  <si>
    <t>FRANCISCO LAZCANO RUMINOT</t>
  </si>
  <si>
    <t>NICOLAS GABRIEL PALMA VERA</t>
  </si>
  <si>
    <t>ANTONIO EMILIANO LORCA NELSON</t>
  </si>
  <si>
    <t>COMISION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</si>
</sst>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16" fillId="4" borderId="24" xfId="0" applyFont="1" applyFill="1" applyBorder="1" applyAlignment="1">
      <alignment horizontal="center" vertical="center" textRotation="255"/>
    </xf>
    <xf numFmtId="0" fontId="16" fillId="4" borderId="17" xfId="0" applyFont="1" applyFill="1" applyBorder="1" applyAlignment="1">
      <alignment horizontal="center" vertical="center" textRotation="255"/>
    </xf>
    <xf numFmtId="0" fontId="16" fillId="4" borderId="25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810"/>
  <sheetViews>
    <sheetView tabSelected="1" zoomScale="85" zoomScaleNormal="85" workbookViewId="0">
      <selection sqref="A1:K112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9">
        <v>0.7</v>
      </c>
      <c r="D2" s="32">
        <v>0.3</v>
      </c>
      <c r="E2" s="33">
        <v>1</v>
      </c>
    </row>
    <row r="3" spans="1:11" ht="14.4" x14ac:dyDescent="0.3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" x14ac:dyDescent="0.3">
      <c r="A4" s="3">
        <v>1</v>
      </c>
      <c r="B4" s="16" t="s">
        <v>64</v>
      </c>
      <c r="C4" s="31">
        <f>C21</f>
        <v>6</v>
      </c>
      <c r="D4" s="37">
        <f>C73</f>
        <v>6</v>
      </c>
      <c r="E4" s="36">
        <f>C4*C$2+D4*D$2</f>
        <v>5.9999999999999991</v>
      </c>
    </row>
    <row r="5" spans="1:11" ht="14.4" x14ac:dyDescent="0.3">
      <c r="A5" s="3">
        <v>2</v>
      </c>
      <c r="B5" s="16" t="s">
        <v>65</v>
      </c>
      <c r="C5" s="31">
        <f>C34</f>
        <v>6</v>
      </c>
      <c r="D5" s="37">
        <f>C86</f>
        <v>6</v>
      </c>
      <c r="E5" s="36">
        <f t="shared" ref="E5:E6" si="0">C5*C$2+D5*D$2</f>
        <v>5.9999999999999991</v>
      </c>
    </row>
    <row r="6" spans="1:11" ht="14.4" x14ac:dyDescent="0.3">
      <c r="A6" s="3">
        <v>3</v>
      </c>
      <c r="B6" s="16" t="s">
        <v>66</v>
      </c>
      <c r="C6" s="31">
        <f>C47</f>
        <v>6</v>
      </c>
      <c r="D6" s="37">
        <f>C99</f>
        <v>6</v>
      </c>
      <c r="E6" s="36">
        <f t="shared" si="0"/>
        <v>5.9999999999999991</v>
      </c>
    </row>
    <row r="7" spans="1:11" ht="14.4" x14ac:dyDescent="0.3">
      <c r="A7" s="3">
        <v>4</v>
      </c>
      <c r="B7" s="16" t="s">
        <v>67</v>
      </c>
      <c r="C7" s="31">
        <f>C59</f>
        <v>6</v>
      </c>
      <c r="D7" s="37">
        <f>C111</f>
        <v>6</v>
      </c>
      <c r="E7" s="36">
        <f t="shared" ref="E7" si="1">C7*C$2+D7*D$2</f>
        <v>5.9999999999999991</v>
      </c>
    </row>
    <row r="11" spans="1:11" ht="18" outlineLevel="1" x14ac:dyDescent="0.3">
      <c r="A11" s="48" t="s">
        <v>4</v>
      </c>
      <c r="B11" s="11" t="str">
        <f>B4</f>
        <v>DANIEL OSVALDO TEPANO ROMAN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ht="14.4" outlineLevel="1" x14ac:dyDescent="0.3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3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/>
      <c r="E13" s="12" t="str">
        <f>IF(D13="X",100*0.15,"")</f>
        <v/>
      </c>
      <c r="F13" s="12" t="s">
        <v>63</v>
      </c>
      <c r="G13" s="12">
        <f>IF(F13="X",60*0.15,"")</f>
        <v>9</v>
      </c>
      <c r="H13" s="12" t="str">
        <f t="shared" ref="H13:H17" si="2">IF($C13=ML,"X","")</f>
        <v/>
      </c>
      <c r="I13" s="12" t="str">
        <f>IF(H13="X",30*0.15,"")</f>
        <v/>
      </c>
      <c r="J13" s="12" t="str">
        <f t="shared" ref="J13:J17" si="3">IF($C13=NL,"X","")</f>
        <v/>
      </c>
      <c r="K13" s="12" t="str">
        <f t="shared" ref="K13:K17" si="4">IF($J13="X",0,"")</f>
        <v/>
      </c>
    </row>
    <row r="14" spans="1:11" ht="26.4" customHeight="1" outlineLevel="1" x14ac:dyDescent="0.3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ref="D14:D17" si="5">IF($C14=CL,"X","")</f>
        <v>X</v>
      </c>
      <c r="E14" s="12">
        <f>IF(D14="X",100*0.25,"")</f>
        <v>25</v>
      </c>
      <c r="F14" s="12" t="str">
        <f t="shared" ref="F14:F17" si="6">IF($C14=L,"X","")</f>
        <v/>
      </c>
      <c r="G14" s="12" t="str">
        <f>IF(F14="X",60*0.25,"")</f>
        <v/>
      </c>
      <c r="H14" s="12" t="str">
        <f t="shared" si="2"/>
        <v/>
      </c>
      <c r="I14" s="12" t="str">
        <f>IF(H14="X",30*0.25,"")</f>
        <v/>
      </c>
      <c r="J14" s="12" t="str">
        <f t="shared" si="3"/>
        <v/>
      </c>
      <c r="K14" s="12" t="str">
        <f t="shared" si="4"/>
        <v/>
      </c>
    </row>
    <row r="15" spans="1:11" ht="24" outlineLevel="1" x14ac:dyDescent="0.3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/>
      <c r="E15" s="12" t="str">
        <f>IF(D15="X",100*0.2,"")</f>
        <v/>
      </c>
      <c r="F15" s="12" t="s">
        <v>63</v>
      </c>
      <c r="G15" s="12">
        <f>IF(F15="X",60*0.2,"")</f>
        <v>12</v>
      </c>
      <c r="H15" s="12" t="str">
        <f t="shared" si="2"/>
        <v/>
      </c>
      <c r="I15" s="12" t="str">
        <f>IF(H15="X",30*0.2,"")</f>
        <v/>
      </c>
      <c r="J15" s="12" t="str">
        <f t="shared" si="3"/>
        <v/>
      </c>
      <c r="K15" s="12" t="str">
        <f t="shared" si="4"/>
        <v/>
      </c>
    </row>
    <row r="16" spans="1:11" ht="24" outlineLevel="1" x14ac:dyDescent="0.3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5"/>
        <v>X</v>
      </c>
      <c r="E16" s="12">
        <f>IF(D16="X",100*0.05,"")</f>
        <v>5</v>
      </c>
      <c r="F16" s="12" t="str">
        <f t="shared" si="6"/>
        <v/>
      </c>
      <c r="G16" s="12" t="str">
        <f>IF(F16="X",60*0.05,"")</f>
        <v/>
      </c>
      <c r="H16" s="12" t="str">
        <f t="shared" si="2"/>
        <v/>
      </c>
      <c r="I16" s="12" t="str">
        <f>IF(H16="X",30*0.05,"")</f>
        <v/>
      </c>
      <c r="J16" s="12" t="str">
        <f t="shared" si="3"/>
        <v/>
      </c>
      <c r="K16" s="12" t="str">
        <f t="shared" si="4"/>
        <v/>
      </c>
    </row>
    <row r="17" spans="1:11" ht="24" outlineLevel="1" x14ac:dyDescent="0.3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5"/>
        <v>X</v>
      </c>
      <c r="E17" s="12">
        <f>IF(D17="X",100*0.05,"")</f>
        <v>5</v>
      </c>
      <c r="F17" s="12" t="str">
        <f t="shared" si="6"/>
        <v/>
      </c>
      <c r="G17" s="12" t="str">
        <f>IF(F17="X",60*0.05,"")</f>
        <v/>
      </c>
      <c r="H17" s="12" t="str">
        <f t="shared" si="2"/>
        <v/>
      </c>
      <c r="I17" s="12" t="str">
        <f>IF(H17="X",30*0.05,"")</f>
        <v/>
      </c>
      <c r="J17" s="12" t="str">
        <f t="shared" si="3"/>
        <v/>
      </c>
      <c r="K17" s="12" t="str">
        <f t="shared" si="4"/>
        <v/>
      </c>
    </row>
    <row r="18" spans="1:11" ht="24" outlineLevel="1" x14ac:dyDescent="0.3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7">IF($J18="X",0,"")</f>
        <v/>
      </c>
    </row>
    <row r="19" spans="1:11" ht="24" outlineLevel="1" x14ac:dyDescent="0.3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7"/>
        <v/>
      </c>
    </row>
    <row r="20" spans="1:11" ht="15.75" customHeight="1" outlineLevel="1" x14ac:dyDescent="0.35">
      <c r="A20" s="40"/>
      <c r="B20" s="18" t="s">
        <v>12</v>
      </c>
      <c r="C20" s="22">
        <f>E20+G20+I20+K20</f>
        <v>86</v>
      </c>
      <c r="D20" s="13"/>
      <c r="E20" s="13">
        <f>SUM(E13:E19)</f>
        <v>65</v>
      </c>
      <c r="F20" s="13"/>
      <c r="G20" s="13">
        <f>SUM(G13:G19)</f>
        <v>21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5">
      <c r="A21" s="42"/>
      <c r="B21" s="21" t="s">
        <v>13</v>
      </c>
      <c r="C21" s="14">
        <f>VLOOKUP(C20,ESCALA_IEP!A2:B202,2,FALSE)</f>
        <v>6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48" t="s">
        <v>4</v>
      </c>
      <c r="B24" s="11" t="str">
        <f>B5</f>
        <v>FRANCISCO LAZCANO RUMINOT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3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3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/>
      <c r="E26" s="12" t="str">
        <f>IF(D26="X",100*0.15,"")</f>
        <v/>
      </c>
      <c r="F26" s="12" t="s">
        <v>63</v>
      </c>
      <c r="G26" s="12">
        <f>IF(F26="X",60*0.15,"")</f>
        <v>9</v>
      </c>
      <c r="H26" s="12" t="str">
        <f t="shared" ref="H26:H30" si="8">IF($C26=ML,"X","")</f>
        <v/>
      </c>
      <c r="I26" s="12" t="str">
        <f>IF(H26="X",30*0.15,"")</f>
        <v/>
      </c>
      <c r="J26" s="12" t="str">
        <f t="shared" ref="J26:J30" si="9">IF($C26=NL,"X","")</f>
        <v/>
      </c>
      <c r="K26" s="12" t="str">
        <f t="shared" ref="K26:K32" si="10">IF($J26="X",0,"")</f>
        <v/>
      </c>
    </row>
    <row r="27" spans="1:11" ht="24" customHeight="1" x14ac:dyDescent="0.3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ref="D27:D30" si="11">IF($C27=CL,"X","")</f>
        <v>X</v>
      </c>
      <c r="E27" s="12">
        <f>IF(D27="X",100*0.25,"")</f>
        <v>25</v>
      </c>
      <c r="F27" s="12" t="str">
        <f t="shared" ref="F27:F30" si="12">IF($C27=L,"X","")</f>
        <v/>
      </c>
      <c r="G27" s="12" t="str">
        <f>IF(F27="X",60*0.25,"")</f>
        <v/>
      </c>
      <c r="H27" s="12" t="str">
        <f t="shared" si="8"/>
        <v/>
      </c>
      <c r="I27" s="12" t="str">
        <f>IF(H27="X",30*0.25,"")</f>
        <v/>
      </c>
      <c r="J27" s="12" t="str">
        <f t="shared" si="9"/>
        <v/>
      </c>
      <c r="K27" s="12" t="str">
        <f t="shared" si="10"/>
        <v/>
      </c>
    </row>
    <row r="28" spans="1:11" ht="24" customHeight="1" x14ac:dyDescent="0.3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/>
      <c r="E28" s="12" t="str">
        <f>IF(D28="X",100*0.2,"")</f>
        <v/>
      </c>
      <c r="F28" s="12" t="s">
        <v>63</v>
      </c>
      <c r="G28" s="12">
        <f>IF(F28="X",60*0.2,"")</f>
        <v>12</v>
      </c>
      <c r="H28" s="12" t="str">
        <f t="shared" si="8"/>
        <v/>
      </c>
      <c r="I28" s="12" t="str">
        <f>IF(H28="X",30*0.2,"")</f>
        <v/>
      </c>
      <c r="J28" s="12" t="str">
        <f t="shared" si="9"/>
        <v/>
      </c>
      <c r="K28" s="12" t="str">
        <f t="shared" si="10"/>
        <v/>
      </c>
    </row>
    <row r="29" spans="1:11" ht="24" customHeight="1" x14ac:dyDescent="0.3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 t="s">
        <v>63</v>
      </c>
      <c r="E29" s="12">
        <f>IF(D29="X",100*0.05,"")</f>
        <v>5</v>
      </c>
      <c r="F29" s="12"/>
      <c r="G29" s="12" t="str">
        <f>IF(F29="X",60*0.05,"")</f>
        <v/>
      </c>
      <c r="H29" s="12" t="str">
        <f t="shared" si="8"/>
        <v/>
      </c>
      <c r="I29" s="12" t="str">
        <f>IF(H29="X",30*0.05,"")</f>
        <v/>
      </c>
      <c r="J29" s="12" t="str">
        <f t="shared" si="9"/>
        <v/>
      </c>
      <c r="K29" s="12" t="str">
        <f t="shared" si="10"/>
        <v/>
      </c>
    </row>
    <row r="30" spans="1:11" ht="24" customHeight="1" x14ac:dyDescent="0.3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11"/>
        <v>X</v>
      </c>
      <c r="E30" s="12">
        <f>IF(D30="X",100*0.05,"")</f>
        <v>5</v>
      </c>
      <c r="F30" s="12" t="str">
        <f t="shared" si="12"/>
        <v/>
      </c>
      <c r="G30" s="12" t="str">
        <f>IF(F30="X",60*0.05,"")</f>
        <v/>
      </c>
      <c r="H30" s="12" t="str">
        <f t="shared" si="8"/>
        <v/>
      </c>
      <c r="I30" s="12" t="str">
        <f>IF(H30="X",30*0.05,"")</f>
        <v/>
      </c>
      <c r="J30" s="12" t="str">
        <f t="shared" si="9"/>
        <v/>
      </c>
      <c r="K30" s="12" t="str">
        <f t="shared" si="10"/>
        <v/>
      </c>
    </row>
    <row r="31" spans="1:11" ht="24" customHeight="1" x14ac:dyDescent="0.3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0"/>
        <v/>
      </c>
    </row>
    <row r="32" spans="1:11" ht="24" customHeight="1" x14ac:dyDescent="0.3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0"/>
        <v/>
      </c>
    </row>
    <row r="33" spans="1:11" ht="24" customHeight="1" x14ac:dyDescent="0.35">
      <c r="A33" s="40"/>
      <c r="B33" s="18" t="s">
        <v>12</v>
      </c>
      <c r="C33" s="22">
        <f>E33+G33+I33+K33</f>
        <v>86</v>
      </c>
      <c r="D33" s="13"/>
      <c r="E33" s="13">
        <f>SUM(E26:E32)</f>
        <v>65</v>
      </c>
      <c r="F33" s="13"/>
      <c r="G33" s="13">
        <f>SUM(G26:G32)</f>
        <v>21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5">
      <c r="A34" s="42"/>
      <c r="B34" s="21" t="s">
        <v>13</v>
      </c>
      <c r="C34" s="14">
        <f>VLOOKUP(C33,ESCALA_IEP!A15:B215,2,FALSE)</f>
        <v>6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48" t="s">
        <v>4</v>
      </c>
      <c r="B37" s="11" t="str">
        <f>B6</f>
        <v>NICOLAS GABRIEL PALMA VERA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3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3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/>
      <c r="E39" s="12" t="str">
        <f>IF(D39="X",100*0.15,"")</f>
        <v/>
      </c>
      <c r="F39" s="12" t="s">
        <v>63</v>
      </c>
      <c r="G39" s="12">
        <f>IF(F39="X",60*0.15,"")</f>
        <v>9</v>
      </c>
      <c r="H39" s="12" t="str">
        <f t="shared" ref="H39:H43" si="13">IF($C39=ML,"X","")</f>
        <v/>
      </c>
      <c r="I39" s="12" t="str">
        <f>IF(H39="X",30*0.15,"")</f>
        <v/>
      </c>
      <c r="J39" s="12" t="str">
        <f t="shared" ref="J39:J43" si="14">IF($C39=NL,"X","")</f>
        <v/>
      </c>
      <c r="K39" s="12" t="str">
        <f t="shared" ref="K39:K45" si="15">IF($J39="X",0,"")</f>
        <v/>
      </c>
    </row>
    <row r="40" spans="1:11" ht="24" customHeight="1" x14ac:dyDescent="0.3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ref="D40:D43" si="16">IF($C40=CL,"X","")</f>
        <v>X</v>
      </c>
      <c r="E40" s="12">
        <f>IF(D40="X",100*0.25,"")</f>
        <v>25</v>
      </c>
      <c r="F40" s="12" t="str">
        <f t="shared" ref="F40:F43" si="17">IF($C40=L,"X","")</f>
        <v/>
      </c>
      <c r="G40" s="12" t="str">
        <f>IF(F40="X",60*0.25,"")</f>
        <v/>
      </c>
      <c r="H40" s="12" t="str">
        <f t="shared" si="13"/>
        <v/>
      </c>
      <c r="I40" s="12" t="str">
        <f>IF(H40="X",30*0.25,"")</f>
        <v/>
      </c>
      <c r="J40" s="12" t="str">
        <f t="shared" si="14"/>
        <v/>
      </c>
      <c r="K40" s="12" t="str">
        <f t="shared" si="15"/>
        <v/>
      </c>
    </row>
    <row r="41" spans="1:11" ht="24" customHeight="1" x14ac:dyDescent="0.3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/>
      <c r="E41" s="12" t="str">
        <f>IF(D41="X",100*0.2,"")</f>
        <v/>
      </c>
      <c r="F41" s="12" t="s">
        <v>63</v>
      </c>
      <c r="G41" s="12">
        <f>IF(F41="X",60*0.2,"")</f>
        <v>12</v>
      </c>
      <c r="H41" s="12" t="str">
        <f t="shared" si="13"/>
        <v/>
      </c>
      <c r="I41" s="12" t="str">
        <f>IF(H41="X",30*0.2,"")</f>
        <v/>
      </c>
      <c r="J41" s="12" t="str">
        <f t="shared" si="14"/>
        <v/>
      </c>
      <c r="K41" s="12" t="str">
        <f t="shared" si="15"/>
        <v/>
      </c>
    </row>
    <row r="42" spans="1:11" ht="24" customHeight="1" x14ac:dyDescent="0.3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6"/>
        <v>X</v>
      </c>
      <c r="E42" s="12">
        <f>IF(D42="X",100*0.05,"")</f>
        <v>5</v>
      </c>
      <c r="F42" s="12" t="str">
        <f t="shared" si="17"/>
        <v/>
      </c>
      <c r="G42" s="12" t="str">
        <f>IF(F42="X",60*0.05,"")</f>
        <v/>
      </c>
      <c r="H42" s="12" t="str">
        <f t="shared" si="13"/>
        <v/>
      </c>
      <c r="I42" s="12" t="str">
        <f>IF(H42="X",30*0.05,"")</f>
        <v/>
      </c>
      <c r="J42" s="12" t="str">
        <f t="shared" si="14"/>
        <v/>
      </c>
      <c r="K42" s="12" t="str">
        <f t="shared" si="15"/>
        <v/>
      </c>
    </row>
    <row r="43" spans="1:11" ht="24" customHeight="1" x14ac:dyDescent="0.3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6"/>
        <v>X</v>
      </c>
      <c r="E43" s="12">
        <f>IF(D43="X",100*0.05,"")</f>
        <v>5</v>
      </c>
      <c r="F43" s="12" t="str">
        <f t="shared" si="17"/>
        <v/>
      </c>
      <c r="G43" s="12" t="str">
        <f>IF(F43="X",60*0.05,"")</f>
        <v/>
      </c>
      <c r="H43" s="12" t="str">
        <f t="shared" si="13"/>
        <v/>
      </c>
      <c r="I43" s="12" t="str">
        <f>IF(H43="X",30*0.05,"")</f>
        <v/>
      </c>
      <c r="J43" s="12" t="str">
        <f t="shared" si="14"/>
        <v/>
      </c>
      <c r="K43" s="12" t="str">
        <f t="shared" si="15"/>
        <v/>
      </c>
    </row>
    <row r="44" spans="1:11" ht="24" customHeight="1" x14ac:dyDescent="0.3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5"/>
        <v/>
      </c>
    </row>
    <row r="45" spans="1:11" ht="24" customHeight="1" x14ac:dyDescent="0.3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5"/>
        <v/>
      </c>
    </row>
    <row r="46" spans="1:11" ht="24" customHeight="1" x14ac:dyDescent="0.35">
      <c r="A46" s="40"/>
      <c r="B46" s="18" t="s">
        <v>12</v>
      </c>
      <c r="C46" s="22">
        <f>E46+G46+I46+K46</f>
        <v>86</v>
      </c>
      <c r="D46" s="13"/>
      <c r="E46" s="13">
        <f>SUM(E39:E45)</f>
        <v>65</v>
      </c>
      <c r="F46" s="13"/>
      <c r="G46" s="13">
        <f>SUM(G39:G45)</f>
        <v>21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5">
      <c r="A47" s="42"/>
      <c r="B47" s="21" t="s">
        <v>13</v>
      </c>
      <c r="C47" s="14">
        <f>VLOOKUP(C46,ESCALA_IEP!A28:B228,2,FALSE)</f>
        <v>6</v>
      </c>
    </row>
    <row r="48" spans="1:11" ht="15.75" customHeight="1" x14ac:dyDescent="0.3"/>
    <row r="49" spans="1:11" ht="15.75" customHeight="1" x14ac:dyDescent="0.3">
      <c r="A49" s="48" t="s">
        <v>4</v>
      </c>
      <c r="B49" s="11" t="str">
        <f>B7</f>
        <v>ANTONIO EMILIANO LORCA NELSON</v>
      </c>
      <c r="C49" s="43" t="s">
        <v>5</v>
      </c>
      <c r="D49" s="44" t="s">
        <v>6</v>
      </c>
      <c r="E49" s="45"/>
      <c r="F49" s="45"/>
      <c r="G49" s="45"/>
      <c r="H49" s="45"/>
      <c r="I49" s="45"/>
      <c r="J49" s="45"/>
      <c r="K49" s="46"/>
    </row>
    <row r="50" spans="1:11" ht="15.75" customHeight="1" x14ac:dyDescent="0.3">
      <c r="A50" s="40"/>
      <c r="B50" s="15" t="s">
        <v>7</v>
      </c>
      <c r="C50" s="42"/>
      <c r="D50" s="44" t="s">
        <v>8</v>
      </c>
      <c r="E50" s="46"/>
      <c r="F50" s="44" t="s">
        <v>9</v>
      </c>
      <c r="G50" s="46"/>
      <c r="H50" s="47" t="s">
        <v>10</v>
      </c>
      <c r="I50" s="46"/>
      <c r="J50" s="44" t="s">
        <v>11</v>
      </c>
      <c r="K50" s="46"/>
    </row>
    <row r="51" spans="1:11" ht="29.4" customHeight="1" x14ac:dyDescent="0.3">
      <c r="A51" s="41"/>
      <c r="B51" s="19" t="str">
        <f>RUBRICA!A4</f>
        <v xml:space="preserve">1. Presenta el proyecto considerando la relevancia, objetivos, metodología y desarrollo, de acuerdo a los estándares de calidad de la disciplina. </v>
      </c>
      <c r="C51" s="17" t="s">
        <v>8</v>
      </c>
      <c r="D51" s="12"/>
      <c r="E51" s="12" t="str">
        <f>IF(D51="X",100*0.15,"")</f>
        <v/>
      </c>
      <c r="F51" s="12" t="s">
        <v>63</v>
      </c>
      <c r="G51" s="12">
        <f>IF(F51="X",60*0.15,"")</f>
        <v>9</v>
      </c>
      <c r="H51" s="12" t="str">
        <f t="shared" ref="H51:H55" si="18">IF($C51=ML,"X","")</f>
        <v/>
      </c>
      <c r="I51" s="12" t="str">
        <f>IF(H51="X",30*0.15,"")</f>
        <v/>
      </c>
      <c r="J51" s="12" t="str">
        <f t="shared" ref="J51:J55" si="19">IF($C51=NL,"X","")</f>
        <v/>
      </c>
      <c r="K51" s="12" t="str">
        <f t="shared" ref="K51:K57" si="20">IF($J51="X",0,"")</f>
        <v/>
      </c>
    </row>
    <row r="52" spans="1:11" ht="36.6" customHeight="1" x14ac:dyDescent="0.3">
      <c r="A52" s="41"/>
      <c r="B52" s="19" t="str">
        <f>RUBRICA!A5</f>
        <v xml:space="preserve">2. Presenta las evidencias del Proyecto APT, dando cuenta del cumplimiento de los objetivos y de acuerdo a los estándares de la disciplina. </v>
      </c>
      <c r="C52" s="17" t="s">
        <v>8</v>
      </c>
      <c r="D52" s="12" t="str">
        <f t="shared" ref="D52:D55" si="21">IF($C52=CL,"X","")</f>
        <v>X</v>
      </c>
      <c r="E52" s="12">
        <f>IF(D52="X",100*0.25,"")</f>
        <v>25</v>
      </c>
      <c r="F52" s="12" t="str">
        <f t="shared" ref="F52:F55" si="22">IF($C52=L,"X","")</f>
        <v/>
      </c>
      <c r="G52" s="12" t="str">
        <f>IF(F52="X",60*0.25,"")</f>
        <v/>
      </c>
      <c r="H52" s="12" t="str">
        <f t="shared" si="18"/>
        <v/>
      </c>
      <c r="I52" s="12" t="str">
        <f>IF(H52="X",30*0.25,"")</f>
        <v/>
      </c>
      <c r="J52" s="12" t="str">
        <f t="shared" si="19"/>
        <v/>
      </c>
      <c r="K52" s="12" t="str">
        <f t="shared" si="20"/>
        <v/>
      </c>
    </row>
    <row r="53" spans="1:11" ht="27.6" customHeight="1" x14ac:dyDescent="0.3">
      <c r="A53" s="41"/>
      <c r="B53" s="19" t="str">
        <f>RUBRICA!A6</f>
        <v>3. Responde las preguntas realizadas por la comisión, cumpliendo con los estándares de calidad de la disciplina.</v>
      </c>
      <c r="C53" s="17" t="s">
        <v>8</v>
      </c>
      <c r="D53" s="12"/>
      <c r="E53" s="12" t="str">
        <f>IF(D53="X",100*0.2,"")</f>
        <v/>
      </c>
      <c r="F53" s="12" t="s">
        <v>63</v>
      </c>
      <c r="G53" s="12">
        <f>IF(F53="X",60*0.2,"")</f>
        <v>12</v>
      </c>
      <c r="H53" s="12" t="str">
        <f t="shared" si="18"/>
        <v/>
      </c>
      <c r="I53" s="12" t="str">
        <f>IF(H53="X",30*0.2,"")</f>
        <v/>
      </c>
      <c r="J53" s="12" t="str">
        <f t="shared" si="19"/>
        <v/>
      </c>
      <c r="K53" s="12" t="str">
        <f t="shared" si="20"/>
        <v/>
      </c>
    </row>
    <row r="54" spans="1:11" ht="35.4" customHeight="1" x14ac:dyDescent="0.3">
      <c r="A54" s="41"/>
      <c r="B54" s="19" t="str">
        <f>RUBRICA!A7</f>
        <v>4. Expone el Proyecto APT, considerando el formato y el tiempo establecido para la presentación.</v>
      </c>
      <c r="C54" s="17" t="s">
        <v>8</v>
      </c>
      <c r="D54" s="12" t="str">
        <f t="shared" si="21"/>
        <v>X</v>
      </c>
      <c r="E54" s="12">
        <f>IF(D54="X",100*0.05,"")</f>
        <v>5</v>
      </c>
      <c r="F54" s="12" t="str">
        <f t="shared" si="22"/>
        <v/>
      </c>
      <c r="G54" s="12" t="str">
        <f>IF(F54="X",60*0.05,"")</f>
        <v/>
      </c>
      <c r="H54" s="12" t="str">
        <f t="shared" si="18"/>
        <v/>
      </c>
      <c r="I54" s="12" t="str">
        <f>IF(H54="X",30*0.05,"")</f>
        <v/>
      </c>
      <c r="J54" s="12" t="str">
        <f t="shared" si="19"/>
        <v/>
      </c>
      <c r="K54" s="12" t="str">
        <f t="shared" si="20"/>
        <v/>
      </c>
    </row>
    <row r="55" spans="1:11" ht="30.6" customHeight="1" x14ac:dyDescent="0.3">
      <c r="A55" s="41"/>
      <c r="B55" s="19" t="str">
        <f>RUBRICA!A8</f>
        <v>5. Expresa sus ideas con fluidez, claridad y precisión, utilizando lenguaje técnico propio de la disciplina.</v>
      </c>
      <c r="C55" s="17" t="s">
        <v>8</v>
      </c>
      <c r="D55" s="12" t="str">
        <f t="shared" si="21"/>
        <v>X</v>
      </c>
      <c r="E55" s="12">
        <f>IF(D55="X",100*0.05,"")</f>
        <v>5</v>
      </c>
      <c r="F55" s="12" t="str">
        <f t="shared" si="22"/>
        <v/>
      </c>
      <c r="G55" s="12" t="str">
        <f>IF(F55="X",60*0.05,"")</f>
        <v/>
      </c>
      <c r="H55" s="12" t="str">
        <f t="shared" si="18"/>
        <v/>
      </c>
      <c r="I55" s="12" t="str">
        <f>IF(H55="X",30*0.05,"")</f>
        <v/>
      </c>
      <c r="J55" s="12" t="str">
        <f t="shared" si="19"/>
        <v/>
      </c>
      <c r="K55" s="12" t="str">
        <f t="shared" si="20"/>
        <v/>
      </c>
    </row>
    <row r="56" spans="1:11" ht="29.4" customHeight="1" x14ac:dyDescent="0.3">
      <c r="A56" s="41"/>
      <c r="B56" s="19" t="str">
        <f>RUBRICA!A9</f>
        <v>6. Entrega la documentación y evidencias requerida por la asignatura de acuerdo a la estructura y nombres solicitados, guardando todas las evidencias de avances en Git</v>
      </c>
      <c r="C56" s="17" t="s">
        <v>8</v>
      </c>
      <c r="D56" s="12" t="str">
        <f>IF($C56=CL,"X","")</f>
        <v>X</v>
      </c>
      <c r="E56" s="12">
        <f>IF(D56="X",100*0.2,"")</f>
        <v>20</v>
      </c>
      <c r="F56" s="12" t="str">
        <f>IF($C56=L,"X","")</f>
        <v/>
      </c>
      <c r="G56" s="12" t="str">
        <f>IF(F56="X",60*0.2,"")</f>
        <v/>
      </c>
      <c r="H56" s="12" t="str">
        <f>IF($C56=ML,"X","")</f>
        <v/>
      </c>
      <c r="I56" s="12" t="str">
        <f>IF(H56="X",30*0.2,"")</f>
        <v/>
      </c>
      <c r="J56" s="12" t="str">
        <f>IF($C56=NL,"X","")</f>
        <v/>
      </c>
      <c r="K56" s="12" t="str">
        <f t="shared" si="20"/>
        <v/>
      </c>
    </row>
    <row r="57" spans="1:11" ht="30" customHeight="1" x14ac:dyDescent="0.3">
      <c r="A57" s="41"/>
      <c r="B57" s="19" t="str">
        <f>RUBRICA!A10</f>
        <v xml:space="preserve">7. Expone el tema utilizando un lenguaje técnico disciplinar al presentar la propuesta y responde evidenciando un manejo de la información. </v>
      </c>
      <c r="C57" s="17" t="s">
        <v>8</v>
      </c>
      <c r="D57" s="12" t="str">
        <f>IF($C57=CL,"X","")</f>
        <v>X</v>
      </c>
      <c r="E57" s="12">
        <f>IF(D57="X",100*0.1,"")</f>
        <v>10</v>
      </c>
      <c r="F57" s="12" t="str">
        <f>IF($C57=L,"X","")</f>
        <v/>
      </c>
      <c r="G57" s="12" t="str">
        <f>IF(F57="X",60*0.1,"")</f>
        <v/>
      </c>
      <c r="H57" s="12" t="str">
        <f>IF($C57=ML,"X","")</f>
        <v/>
      </c>
      <c r="I57" s="12" t="str">
        <f>IF(H57="X",30*0.1,"")</f>
        <v/>
      </c>
      <c r="J57" s="12" t="str">
        <f>IF($C57=NL,"X","")</f>
        <v/>
      </c>
      <c r="K57" s="12" t="str">
        <f t="shared" si="20"/>
        <v/>
      </c>
    </row>
    <row r="58" spans="1:11" ht="15.75" customHeight="1" x14ac:dyDescent="0.35">
      <c r="A58" s="40"/>
      <c r="B58" s="18" t="s">
        <v>12</v>
      </c>
      <c r="C58" s="22">
        <f>E58+G58+I58+K58</f>
        <v>86</v>
      </c>
      <c r="D58" s="13"/>
      <c r="E58" s="13">
        <f>SUM(E51:E57)</f>
        <v>65</v>
      </c>
      <c r="F58" s="13"/>
      <c r="G58" s="13">
        <f>SUM(G51:G57)</f>
        <v>21</v>
      </c>
      <c r="H58" s="13"/>
      <c r="I58" s="13">
        <f>SUM(I51:I57)</f>
        <v>0</v>
      </c>
      <c r="J58" s="13"/>
      <c r="K58" s="13">
        <f>SUM(K51:K57)</f>
        <v>0</v>
      </c>
    </row>
    <row r="59" spans="1:11" ht="27.6" customHeight="1" x14ac:dyDescent="0.35">
      <c r="A59" s="42"/>
      <c r="B59" s="21" t="s">
        <v>13</v>
      </c>
      <c r="C59" s="14">
        <f>VLOOKUP(C58,ESCALA_IEP!A40:B240,2,FALSE)</f>
        <v>6</v>
      </c>
    </row>
    <row r="60" spans="1:11" ht="15.75" customHeight="1" x14ac:dyDescent="0.3"/>
    <row r="61" spans="1:11" ht="15.75" customHeight="1" x14ac:dyDescent="0.3"/>
    <row r="62" spans="1:11" ht="15.75" customHeight="1" x14ac:dyDescent="0.3"/>
    <row r="63" spans="1:11" ht="24" customHeight="1" x14ac:dyDescent="0.3">
      <c r="A63" s="49" t="s">
        <v>14</v>
      </c>
      <c r="B63" s="11" t="str">
        <f>B4</f>
        <v>DANIEL OSVALDO TEPANO ROMAN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3">
      <c r="A64" s="5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3">
      <c r="A65" s="50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/>
      <c r="E65" s="12" t="str">
        <f>IF(D65="X",100*0.15,"")</f>
        <v/>
      </c>
      <c r="F65" s="12" t="s">
        <v>63</v>
      </c>
      <c r="G65" s="12">
        <f>IF(F65="X",60*0.15,"")</f>
        <v>9</v>
      </c>
      <c r="H65" s="12" t="str">
        <f t="shared" ref="H65:H71" si="23">IF($C65=ML,"X","")</f>
        <v/>
      </c>
      <c r="I65" s="12" t="str">
        <f>IF(H65="X",30*0.15,"")</f>
        <v/>
      </c>
      <c r="J65" s="12" t="str">
        <f t="shared" ref="J65:J71" si="24">IF($C65=NL,"X","")</f>
        <v/>
      </c>
      <c r="K65" s="12" t="str">
        <f t="shared" ref="K65:K71" si="25">IF($J65="X",0,"")</f>
        <v/>
      </c>
    </row>
    <row r="66" spans="1:11" ht="24" customHeight="1" x14ac:dyDescent="0.3">
      <c r="A66" s="50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ref="D66:D71" si="26">IF($C66=CL,"X","")</f>
        <v>X</v>
      </c>
      <c r="E66" s="12">
        <f>IF(D66="X",100*0.25,"")</f>
        <v>25</v>
      </c>
      <c r="F66" s="12" t="str">
        <f t="shared" ref="F66:F71" si="27">IF($C66=L,"X","")</f>
        <v/>
      </c>
      <c r="G66" s="12" t="str">
        <f>IF(F66="X",60*0.25,"")</f>
        <v/>
      </c>
      <c r="H66" s="12" t="str">
        <f t="shared" si="23"/>
        <v/>
      </c>
      <c r="I66" s="12" t="str">
        <f>IF(H66="X",30*0.25,"")</f>
        <v/>
      </c>
      <c r="J66" s="12" t="str">
        <f t="shared" si="24"/>
        <v/>
      </c>
      <c r="K66" s="12" t="str">
        <f t="shared" si="25"/>
        <v/>
      </c>
    </row>
    <row r="67" spans="1:11" ht="24" customHeight="1" x14ac:dyDescent="0.3">
      <c r="A67" s="50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/>
      <c r="E67" s="12" t="str">
        <f>IF(D67="X",100*0.2,"")</f>
        <v/>
      </c>
      <c r="F67" s="12" t="s">
        <v>63</v>
      </c>
      <c r="G67" s="12">
        <f>IF(F67="X",60*0.2,"")</f>
        <v>12</v>
      </c>
      <c r="H67" s="12" t="str">
        <f t="shared" si="23"/>
        <v/>
      </c>
      <c r="I67" s="12" t="str">
        <f>IF(H67="X",30*0.2,"")</f>
        <v/>
      </c>
      <c r="J67" s="12" t="str">
        <f t="shared" si="24"/>
        <v/>
      </c>
      <c r="K67" s="12" t="str">
        <f t="shared" si="25"/>
        <v/>
      </c>
    </row>
    <row r="68" spans="1:11" ht="24" customHeight="1" x14ac:dyDescent="0.3">
      <c r="A68" s="50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6"/>
        <v>X</v>
      </c>
      <c r="E68" s="12">
        <f>IF(D68="X",100*0.05,"")</f>
        <v>5</v>
      </c>
      <c r="F68" s="12" t="str">
        <f t="shared" si="27"/>
        <v/>
      </c>
      <c r="G68" s="12" t="str">
        <f>IF(F68="X",60*0.05,"")</f>
        <v/>
      </c>
      <c r="H68" s="12" t="str">
        <f t="shared" si="23"/>
        <v/>
      </c>
      <c r="I68" s="12" t="str">
        <f>IF(H68="X",30*0.05,"")</f>
        <v/>
      </c>
      <c r="J68" s="12" t="str">
        <f t="shared" si="24"/>
        <v/>
      </c>
      <c r="K68" s="12" t="str">
        <f t="shared" si="25"/>
        <v/>
      </c>
    </row>
    <row r="69" spans="1:11" ht="24" customHeight="1" x14ac:dyDescent="0.3">
      <c r="A69" s="50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6"/>
        <v>X</v>
      </c>
      <c r="E69" s="12">
        <f>IF(D69="X",100*0.05,"")</f>
        <v>5</v>
      </c>
      <c r="F69" s="12" t="str">
        <f t="shared" si="27"/>
        <v/>
      </c>
      <c r="G69" s="12" t="str">
        <f>IF(F69="X",60*0.05,"")</f>
        <v/>
      </c>
      <c r="H69" s="12" t="str">
        <f t="shared" si="23"/>
        <v/>
      </c>
      <c r="I69" s="12" t="str">
        <f>IF(H69="X",30*0.05,"")</f>
        <v/>
      </c>
      <c r="J69" s="12" t="str">
        <f t="shared" si="24"/>
        <v/>
      </c>
      <c r="K69" s="12" t="str">
        <f t="shared" si="25"/>
        <v/>
      </c>
    </row>
    <row r="70" spans="1:11" ht="24" customHeight="1" x14ac:dyDescent="0.3">
      <c r="A70" s="50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 t="shared" si="26"/>
        <v>X</v>
      </c>
      <c r="E70" s="12">
        <f>IF(D70="X",100*0.2,"")</f>
        <v>20</v>
      </c>
      <c r="F70" s="12" t="str">
        <f t="shared" si="27"/>
        <v/>
      </c>
      <c r="G70" s="12" t="str">
        <f>IF(F70="X",60*0.2,"")</f>
        <v/>
      </c>
      <c r="H70" s="12" t="str">
        <f t="shared" si="23"/>
        <v/>
      </c>
      <c r="I70" s="12" t="str">
        <f>IF(H70="X",30*0.2,"")</f>
        <v/>
      </c>
      <c r="J70" s="12" t="str">
        <f t="shared" si="24"/>
        <v/>
      </c>
      <c r="K70" s="12" t="str">
        <f t="shared" si="25"/>
        <v/>
      </c>
    </row>
    <row r="71" spans="1:11" ht="24" customHeight="1" x14ac:dyDescent="0.3">
      <c r="A71" s="50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 t="shared" si="26"/>
        <v>X</v>
      </c>
      <c r="E71" s="12">
        <f>IF(D71="X",100*0.1,"")</f>
        <v>10</v>
      </c>
      <c r="F71" s="12" t="str">
        <f t="shared" si="27"/>
        <v/>
      </c>
      <c r="G71" s="12" t="str">
        <f>IF(F71="X",60*0.1,"")</f>
        <v/>
      </c>
      <c r="H71" s="12" t="str">
        <f t="shared" si="23"/>
        <v/>
      </c>
      <c r="I71" s="12" t="str">
        <f>IF(H71="X",30*0.1,"")</f>
        <v/>
      </c>
      <c r="J71" s="12" t="str">
        <f t="shared" si="24"/>
        <v/>
      </c>
      <c r="K71" s="12" t="str">
        <f t="shared" si="25"/>
        <v/>
      </c>
    </row>
    <row r="72" spans="1:11" ht="24" customHeight="1" x14ac:dyDescent="0.35">
      <c r="A72" s="50"/>
      <c r="B72" s="18" t="s">
        <v>12</v>
      </c>
      <c r="C72" s="22">
        <f>E72+G72+I72+K72</f>
        <v>86</v>
      </c>
      <c r="D72" s="13"/>
      <c r="E72" s="13">
        <f>SUM(E65:E71)</f>
        <v>65</v>
      </c>
      <c r="F72" s="13"/>
      <c r="G72" s="13">
        <f>SUM(G65:G71)</f>
        <v>21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5">
      <c r="A73" s="51"/>
      <c r="B73" s="21" t="s">
        <v>13</v>
      </c>
      <c r="C73" s="14">
        <f>VLOOKUP(C72,ESCALA_IEP!A41:B241,2,FALSE)</f>
        <v>6</v>
      </c>
    </row>
    <row r="74" spans="1:11" ht="15.75" customHeight="1" x14ac:dyDescent="0.3"/>
    <row r="75" spans="1:11" ht="15.75" customHeight="1" x14ac:dyDescent="0.3"/>
    <row r="76" spans="1:11" ht="24" customHeight="1" x14ac:dyDescent="0.3">
      <c r="A76" s="39" t="s">
        <v>15</v>
      </c>
      <c r="B76" s="11" t="str">
        <f>B5</f>
        <v>FRANCISCO LAZCANO RUMINOT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3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3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/>
      <c r="E78" s="12" t="str">
        <f>IF(D78="X",100*0.15,"")</f>
        <v/>
      </c>
      <c r="F78" s="12" t="s">
        <v>63</v>
      </c>
      <c r="G78" s="12">
        <f>IF(F78="X",60*0.15,"")</f>
        <v>9</v>
      </c>
      <c r="H78" s="12" t="str">
        <f t="shared" ref="H78:H82" si="28">IF($C78=ML,"X","")</f>
        <v/>
      </c>
      <c r="I78" s="12" t="str">
        <f>IF(H78="X",30*0.15,"")</f>
        <v/>
      </c>
      <c r="J78" s="12" t="str">
        <f t="shared" ref="J78:J82" si="29">IF($C78=NL,"X","")</f>
        <v/>
      </c>
      <c r="K78" s="12" t="str">
        <f t="shared" ref="K78:K84" si="30">IF($J78="X",0,"")</f>
        <v/>
      </c>
    </row>
    <row r="79" spans="1:11" ht="24" customHeight="1" x14ac:dyDescent="0.3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ref="D79:D82" si="31">IF($C79=CL,"X","")</f>
        <v>X</v>
      </c>
      <c r="E79" s="12">
        <f>IF(D79="X",100*0.25,"")</f>
        <v>25</v>
      </c>
      <c r="F79" s="12" t="str">
        <f t="shared" ref="F79:F82" si="32">IF($C79=L,"X","")</f>
        <v/>
      </c>
      <c r="G79" s="12" t="str">
        <f>IF(F79="X",60*0.25,"")</f>
        <v/>
      </c>
      <c r="H79" s="12" t="str">
        <f t="shared" si="28"/>
        <v/>
      </c>
      <c r="I79" s="12" t="str">
        <f>IF(H79="X",30*0.25,"")</f>
        <v/>
      </c>
      <c r="J79" s="12" t="str">
        <f t="shared" si="29"/>
        <v/>
      </c>
      <c r="K79" s="12" t="str">
        <f t="shared" si="30"/>
        <v/>
      </c>
    </row>
    <row r="80" spans="1:11" ht="24" customHeight="1" x14ac:dyDescent="0.3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/>
      <c r="E80" s="12" t="str">
        <f>IF(D80="X",100*0.2,"")</f>
        <v/>
      </c>
      <c r="F80" s="12" t="s">
        <v>63</v>
      </c>
      <c r="G80" s="12">
        <f>IF(F80="X",60*0.2,"")</f>
        <v>12</v>
      </c>
      <c r="H80" s="12" t="str">
        <f t="shared" si="28"/>
        <v/>
      </c>
      <c r="I80" s="12" t="str">
        <f>IF(H80="X",30*0.2,"")</f>
        <v/>
      </c>
      <c r="J80" s="12" t="str">
        <f t="shared" si="29"/>
        <v/>
      </c>
      <c r="K80" s="12" t="str">
        <f t="shared" si="30"/>
        <v/>
      </c>
    </row>
    <row r="81" spans="1:11" ht="24" customHeight="1" x14ac:dyDescent="0.3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31"/>
        <v>X</v>
      </c>
      <c r="E81" s="12">
        <f>IF(D81="X",100*0.05,"")</f>
        <v>5</v>
      </c>
      <c r="F81" s="12" t="str">
        <f t="shared" si="32"/>
        <v/>
      </c>
      <c r="G81" s="12" t="str">
        <f>IF(F81="X",60*0.05,"")</f>
        <v/>
      </c>
      <c r="H81" s="12" t="str">
        <f t="shared" si="28"/>
        <v/>
      </c>
      <c r="I81" s="12" t="str">
        <f>IF(H81="X",30*0.05,"")</f>
        <v/>
      </c>
      <c r="J81" s="12" t="str">
        <f t="shared" si="29"/>
        <v/>
      </c>
      <c r="K81" s="12" t="str">
        <f t="shared" si="30"/>
        <v/>
      </c>
    </row>
    <row r="82" spans="1:11" ht="24" customHeight="1" x14ac:dyDescent="0.3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31"/>
        <v>X</v>
      </c>
      <c r="E82" s="12">
        <f>IF(D82="X",100*0.05,"")</f>
        <v>5</v>
      </c>
      <c r="F82" s="12" t="str">
        <f t="shared" si="32"/>
        <v/>
      </c>
      <c r="G82" s="12" t="str">
        <f>IF(F82="X",60*0.05,"")</f>
        <v/>
      </c>
      <c r="H82" s="12" t="str">
        <f t="shared" si="28"/>
        <v/>
      </c>
      <c r="I82" s="12" t="str">
        <f>IF(H82="X",30*0.05,"")</f>
        <v/>
      </c>
      <c r="J82" s="12" t="str">
        <f t="shared" si="29"/>
        <v/>
      </c>
      <c r="K82" s="12" t="str">
        <f t="shared" si="30"/>
        <v/>
      </c>
    </row>
    <row r="83" spans="1:11" ht="24" customHeight="1" x14ac:dyDescent="0.3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0"/>
        <v/>
      </c>
    </row>
    <row r="84" spans="1:11" ht="24" customHeight="1" x14ac:dyDescent="0.3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0"/>
        <v/>
      </c>
    </row>
    <row r="85" spans="1:11" ht="24" customHeight="1" x14ac:dyDescent="0.35">
      <c r="A85" s="40"/>
      <c r="B85" s="18" t="s">
        <v>12</v>
      </c>
      <c r="C85" s="22">
        <f>E85+G85+I85+K85</f>
        <v>86</v>
      </c>
      <c r="D85" s="13"/>
      <c r="E85" s="13">
        <f>SUM(E78:E84)</f>
        <v>65</v>
      </c>
      <c r="F85" s="13"/>
      <c r="G85" s="13">
        <f>SUM(G78:G84)</f>
        <v>21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5">
      <c r="A86" s="42"/>
      <c r="B86" s="21" t="s">
        <v>13</v>
      </c>
      <c r="C86" s="14">
        <f>VLOOKUP(C85,ESCALA_IEP!A54:B254,2,FALSE)</f>
        <v>6</v>
      </c>
    </row>
    <row r="87" spans="1:11" ht="15.75" customHeight="1" x14ac:dyDescent="0.3"/>
    <row r="88" spans="1:11" ht="15.75" customHeight="1" x14ac:dyDescent="0.3"/>
    <row r="89" spans="1:11" ht="24" customHeight="1" x14ac:dyDescent="0.3">
      <c r="A89" s="39" t="s">
        <v>16</v>
      </c>
      <c r="B89" s="11" t="str">
        <f>B6</f>
        <v>NICOLAS GABRIEL PALMA VERA</v>
      </c>
      <c r="C89" s="43" t="s">
        <v>5</v>
      </c>
      <c r="D89" s="44" t="s">
        <v>6</v>
      </c>
      <c r="E89" s="45"/>
      <c r="F89" s="45"/>
      <c r="G89" s="45"/>
      <c r="H89" s="45"/>
      <c r="I89" s="45"/>
      <c r="J89" s="45"/>
      <c r="K89" s="46"/>
    </row>
    <row r="90" spans="1:11" ht="24" customHeight="1" x14ac:dyDescent="0.3">
      <c r="A90" s="40"/>
      <c r="B90" s="15" t="s">
        <v>7</v>
      </c>
      <c r="C90" s="42"/>
      <c r="D90" s="44" t="s">
        <v>8</v>
      </c>
      <c r="E90" s="46"/>
      <c r="F90" s="44" t="s">
        <v>9</v>
      </c>
      <c r="G90" s="46"/>
      <c r="H90" s="47" t="s">
        <v>10</v>
      </c>
      <c r="I90" s="46"/>
      <c r="J90" s="44" t="s">
        <v>11</v>
      </c>
      <c r="K90" s="46"/>
    </row>
    <row r="91" spans="1:11" ht="24" customHeight="1" x14ac:dyDescent="0.3">
      <c r="A91" s="41"/>
      <c r="B91" s="19" t="str">
        <f>RUBRICA!A4</f>
        <v xml:space="preserve">1. Presenta el proyecto considerando la relevancia, objetivos, metodología y desarrollo, de acuerdo a los estándares de calidad de la disciplina. </v>
      </c>
      <c r="C91" s="17" t="s">
        <v>8</v>
      </c>
      <c r="D91" s="12"/>
      <c r="E91" s="12" t="str">
        <f>IF(D91="X",100*0.15,"")</f>
        <v/>
      </c>
      <c r="F91" s="12" t="s">
        <v>63</v>
      </c>
      <c r="G91" s="12">
        <f>IF(F91="X",60*0.15,"")</f>
        <v>9</v>
      </c>
      <c r="H91" s="12" t="str">
        <f t="shared" ref="H91:H95" si="33">IF($C91=ML,"X","")</f>
        <v/>
      </c>
      <c r="I91" s="12" t="str">
        <f>IF(H91="X",30*0.15,"")</f>
        <v/>
      </c>
      <c r="J91" s="12" t="str">
        <f t="shared" ref="J91:J95" si="34">IF($C91=NL,"X","")</f>
        <v/>
      </c>
      <c r="K91" s="12" t="str">
        <f t="shared" ref="K91:K97" si="35">IF($J91="X",0,"")</f>
        <v/>
      </c>
    </row>
    <row r="92" spans="1:11" ht="24" customHeight="1" x14ac:dyDescent="0.3">
      <c r="A92" s="41"/>
      <c r="B92" s="19" t="str">
        <f>RUBRICA!A5</f>
        <v xml:space="preserve">2. Presenta las evidencias del Proyecto APT, dando cuenta del cumplimiento de los objetivos y de acuerdo a los estándares de la disciplina. </v>
      </c>
      <c r="C92" s="17" t="s">
        <v>8</v>
      </c>
      <c r="D92" s="12" t="str">
        <f t="shared" ref="D92:D95" si="36">IF($C92=CL,"X","")</f>
        <v>X</v>
      </c>
      <c r="E92" s="12">
        <f>IF(D92="X",100*0.25,"")</f>
        <v>25</v>
      </c>
      <c r="F92" s="12" t="str">
        <f t="shared" ref="F92:F95" si="37">IF($C92=L,"X","")</f>
        <v/>
      </c>
      <c r="G92" s="12" t="str">
        <f>IF(F92="X",60*0.25,"")</f>
        <v/>
      </c>
      <c r="H92" s="12" t="str">
        <f t="shared" si="33"/>
        <v/>
      </c>
      <c r="I92" s="12" t="str">
        <f>IF(H92="X",30*0.25,"")</f>
        <v/>
      </c>
      <c r="J92" s="12" t="str">
        <f t="shared" si="34"/>
        <v/>
      </c>
      <c r="K92" s="12" t="str">
        <f t="shared" si="35"/>
        <v/>
      </c>
    </row>
    <row r="93" spans="1:11" ht="24" customHeight="1" x14ac:dyDescent="0.3">
      <c r="A93" s="41"/>
      <c r="B93" s="19" t="str">
        <f>RUBRICA!A6</f>
        <v>3. Responde las preguntas realizadas por la comisión, cumpliendo con los estándares de calidad de la disciplina.</v>
      </c>
      <c r="C93" s="17" t="s">
        <v>8</v>
      </c>
      <c r="D93" s="12"/>
      <c r="E93" s="12" t="str">
        <f>IF(D93="X",100*0.2,"")</f>
        <v/>
      </c>
      <c r="F93" s="12" t="s">
        <v>63</v>
      </c>
      <c r="G93" s="12">
        <f>IF(F93="X",60*0.2,"")</f>
        <v>12</v>
      </c>
      <c r="H93" s="12" t="str">
        <f t="shared" si="33"/>
        <v/>
      </c>
      <c r="I93" s="12" t="str">
        <f>IF(H93="X",30*0.2,"")</f>
        <v/>
      </c>
      <c r="J93" s="12" t="str">
        <f t="shared" si="34"/>
        <v/>
      </c>
      <c r="K93" s="12" t="str">
        <f t="shared" si="35"/>
        <v/>
      </c>
    </row>
    <row r="94" spans="1:11" ht="24" customHeight="1" x14ac:dyDescent="0.3">
      <c r="A94" s="41"/>
      <c r="B94" s="19" t="str">
        <f>RUBRICA!A7</f>
        <v>4. Expone el Proyecto APT, considerando el formato y el tiempo establecido para la presentación.</v>
      </c>
      <c r="C94" s="17" t="s">
        <v>8</v>
      </c>
      <c r="D94" s="12" t="str">
        <f t="shared" si="36"/>
        <v>X</v>
      </c>
      <c r="E94" s="12">
        <f>IF(D94="X",100*0.05,"")</f>
        <v>5</v>
      </c>
      <c r="F94" s="12" t="str">
        <f t="shared" si="37"/>
        <v/>
      </c>
      <c r="G94" s="12" t="str">
        <f>IF(F94="X",60*0.05,"")</f>
        <v/>
      </c>
      <c r="H94" s="12" t="str">
        <f t="shared" si="33"/>
        <v/>
      </c>
      <c r="I94" s="12" t="str">
        <f>IF(H94="X",30*0.05,"")</f>
        <v/>
      </c>
      <c r="J94" s="12" t="str">
        <f t="shared" si="34"/>
        <v/>
      </c>
      <c r="K94" s="12" t="str">
        <f t="shared" si="35"/>
        <v/>
      </c>
    </row>
    <row r="95" spans="1:11" ht="24" customHeight="1" x14ac:dyDescent="0.3">
      <c r="A95" s="41"/>
      <c r="B95" s="19" t="str">
        <f>RUBRICA!A8</f>
        <v>5. Expresa sus ideas con fluidez, claridad y precisión, utilizando lenguaje técnico propio de la disciplina.</v>
      </c>
      <c r="C95" s="17" t="s">
        <v>8</v>
      </c>
      <c r="D95" s="12" t="str">
        <f t="shared" si="36"/>
        <v>X</v>
      </c>
      <c r="E95" s="12">
        <f>IF(D95="X",100*0.05,"")</f>
        <v>5</v>
      </c>
      <c r="F95" s="12" t="str">
        <f t="shared" si="37"/>
        <v/>
      </c>
      <c r="G95" s="12" t="str">
        <f>IF(F95="X",60*0.05,"")</f>
        <v/>
      </c>
      <c r="H95" s="12" t="str">
        <f t="shared" si="33"/>
        <v/>
      </c>
      <c r="I95" s="12" t="str">
        <f>IF(H95="X",30*0.05,"")</f>
        <v/>
      </c>
      <c r="J95" s="12" t="str">
        <f t="shared" si="34"/>
        <v/>
      </c>
      <c r="K95" s="12" t="str">
        <f t="shared" si="35"/>
        <v/>
      </c>
    </row>
    <row r="96" spans="1:11" ht="24" customHeight="1" x14ac:dyDescent="0.3">
      <c r="A96" s="41"/>
      <c r="B96" s="19" t="str">
        <f>RUBRICA!A9</f>
        <v>6. Entrega la documentación y evidencias requerida por la asignatura de acuerdo a la estructura y nombres solicitados, guardando todas las evidencias de avances en Git</v>
      </c>
      <c r="C96" s="17" t="s">
        <v>8</v>
      </c>
      <c r="D96" s="12" t="str">
        <f>IF($C96=CL,"X","")</f>
        <v>X</v>
      </c>
      <c r="E96" s="12">
        <f>IF(D96="X",100*0.2,"")</f>
        <v>20</v>
      </c>
      <c r="F96" s="12" t="str">
        <f>IF($C96=L,"X","")</f>
        <v/>
      </c>
      <c r="G96" s="12" t="str">
        <f>IF(F96="X",60*0.2,"")</f>
        <v/>
      </c>
      <c r="H96" s="12" t="str">
        <f>IF($C96=ML,"X","")</f>
        <v/>
      </c>
      <c r="I96" s="12" t="str">
        <f>IF(H96="X",30*0.2,"")</f>
        <v/>
      </c>
      <c r="J96" s="12" t="str">
        <f>IF($C96=NL,"X","")</f>
        <v/>
      </c>
      <c r="K96" s="12" t="str">
        <f t="shared" si="35"/>
        <v/>
      </c>
    </row>
    <row r="97" spans="1:11" ht="24" customHeight="1" x14ac:dyDescent="0.3">
      <c r="A97" s="41"/>
      <c r="B97" s="19" t="str">
        <f>RUBRICA!A10</f>
        <v xml:space="preserve">7. Expone el tema utilizando un lenguaje técnico disciplinar al presentar la propuesta y responde evidenciando un manejo de la información. </v>
      </c>
      <c r="C97" s="17" t="s">
        <v>8</v>
      </c>
      <c r="D97" s="12" t="str">
        <f>IF($C97=CL,"X","")</f>
        <v>X</v>
      </c>
      <c r="E97" s="12">
        <f>IF(D97="X",100*0.1,"")</f>
        <v>10</v>
      </c>
      <c r="F97" s="12" t="str">
        <f>IF($C97=L,"X","")</f>
        <v/>
      </c>
      <c r="G97" s="12" t="str">
        <f>IF(F97="X",60*0.1,"")</f>
        <v/>
      </c>
      <c r="H97" s="12" t="str">
        <f>IF($C97=ML,"X","")</f>
        <v/>
      </c>
      <c r="I97" s="12" t="str">
        <f>IF(H97="X",30*0.1,"")</f>
        <v/>
      </c>
      <c r="J97" s="12" t="str">
        <f>IF($C97=NL,"X","")</f>
        <v/>
      </c>
      <c r="K97" s="12" t="str">
        <f t="shared" si="35"/>
        <v/>
      </c>
    </row>
    <row r="98" spans="1:11" ht="24" customHeight="1" x14ac:dyDescent="0.35">
      <c r="A98" s="40"/>
      <c r="B98" s="18" t="s">
        <v>12</v>
      </c>
      <c r="C98" s="22">
        <f>E98+G98+I98+K98</f>
        <v>86</v>
      </c>
      <c r="D98" s="13"/>
      <c r="E98" s="13">
        <f>SUM(E91:E97)</f>
        <v>65</v>
      </c>
      <c r="F98" s="13"/>
      <c r="G98" s="13">
        <f>SUM(G91:G97)</f>
        <v>21</v>
      </c>
      <c r="H98" s="13"/>
      <c r="I98" s="13">
        <f>SUM(I91:I97)</f>
        <v>0</v>
      </c>
      <c r="J98" s="13"/>
      <c r="K98" s="13">
        <f>SUM(K91:K97)</f>
        <v>0</v>
      </c>
    </row>
    <row r="99" spans="1:11" ht="24" customHeight="1" x14ac:dyDescent="0.35">
      <c r="A99" s="42"/>
      <c r="B99" s="21" t="s">
        <v>13</v>
      </c>
      <c r="C99" s="14">
        <f>VLOOKUP(C98,ESCALA_IEP!A67:B267,2,FALSE)</f>
        <v>6</v>
      </c>
    </row>
    <row r="100" spans="1:11" ht="15.75" customHeight="1" x14ac:dyDescent="0.3"/>
    <row r="101" spans="1:11" ht="18" x14ac:dyDescent="0.3">
      <c r="A101" s="39" t="s">
        <v>68</v>
      </c>
      <c r="B101" s="11" t="str">
        <f>B7</f>
        <v>ANTONIO EMILIANO LORCA NELSON</v>
      </c>
      <c r="C101" s="43" t="s">
        <v>5</v>
      </c>
      <c r="D101" s="44" t="s">
        <v>6</v>
      </c>
      <c r="E101" s="45"/>
      <c r="F101" s="45"/>
      <c r="G101" s="45"/>
      <c r="H101" s="45"/>
      <c r="I101" s="45"/>
      <c r="J101" s="45"/>
      <c r="K101" s="46"/>
    </row>
    <row r="102" spans="1:11" ht="14.4" x14ac:dyDescent="0.3">
      <c r="A102" s="40"/>
      <c r="B102" s="15" t="s">
        <v>7</v>
      </c>
      <c r="C102" s="42"/>
      <c r="D102" s="44" t="s">
        <v>8</v>
      </c>
      <c r="E102" s="46"/>
      <c r="F102" s="44" t="s">
        <v>9</v>
      </c>
      <c r="G102" s="46"/>
      <c r="H102" s="47" t="s">
        <v>10</v>
      </c>
      <c r="I102" s="46"/>
      <c r="J102" s="44" t="s">
        <v>11</v>
      </c>
      <c r="K102" s="46"/>
    </row>
    <row r="103" spans="1:11" ht="31.2" customHeight="1" x14ac:dyDescent="0.3">
      <c r="A103" s="41"/>
      <c r="B103" s="19" t="str">
        <f>RUBRICA!A4</f>
        <v xml:space="preserve">1. Presenta el proyecto considerando la relevancia, objetivos, metodología y desarrollo, de acuerdo a los estándares de calidad de la disciplina. </v>
      </c>
      <c r="C103" s="17" t="s">
        <v>8</v>
      </c>
      <c r="D103" s="12"/>
      <c r="E103" s="12" t="str">
        <f>IF(D103="X",100*0.15,"")</f>
        <v/>
      </c>
      <c r="F103" s="12" t="s">
        <v>63</v>
      </c>
      <c r="G103" s="12">
        <f>IF(F103="X",60*0.15,"")</f>
        <v>9</v>
      </c>
      <c r="H103" s="12" t="str">
        <f t="shared" ref="H103:H107" si="38">IF($C103=ML,"X","")</f>
        <v/>
      </c>
      <c r="I103" s="12" t="str">
        <f>IF(H103="X",30*0.15,"")</f>
        <v/>
      </c>
      <c r="J103" s="12" t="str">
        <f t="shared" ref="J103:J107" si="39">IF($C103=NL,"X","")</f>
        <v/>
      </c>
      <c r="K103" s="12" t="str">
        <f t="shared" ref="K103:K109" si="40">IF($J103="X",0,"")</f>
        <v/>
      </c>
    </row>
    <row r="104" spans="1:11" ht="33.6" customHeight="1" x14ac:dyDescent="0.3">
      <c r="A104" s="41"/>
      <c r="B104" s="19" t="str">
        <f>RUBRICA!A5</f>
        <v xml:space="preserve">2. Presenta las evidencias del Proyecto APT, dando cuenta del cumplimiento de los objetivos y de acuerdo a los estándares de la disciplina. </v>
      </c>
      <c r="C104" s="17" t="s">
        <v>8</v>
      </c>
      <c r="D104" s="12" t="str">
        <f t="shared" ref="D104:D107" si="41">IF($C104=CL,"X","")</f>
        <v>X</v>
      </c>
      <c r="E104" s="12">
        <f>IF(D104="X",100*0.25,"")</f>
        <v>25</v>
      </c>
      <c r="F104" s="12" t="str">
        <f t="shared" ref="F104:F107" si="42">IF($C104=L,"X","")</f>
        <v/>
      </c>
      <c r="G104" s="12" t="str">
        <f>IF(F104="X",60*0.25,"")</f>
        <v/>
      </c>
      <c r="H104" s="12" t="str">
        <f t="shared" si="38"/>
        <v/>
      </c>
      <c r="I104" s="12" t="str">
        <f>IF(H104="X",30*0.25,"")</f>
        <v/>
      </c>
      <c r="J104" s="12" t="str">
        <f t="shared" si="39"/>
        <v/>
      </c>
      <c r="K104" s="12" t="str">
        <f t="shared" si="40"/>
        <v/>
      </c>
    </row>
    <row r="105" spans="1:11" ht="27.6" customHeight="1" x14ac:dyDescent="0.3">
      <c r="A105" s="41"/>
      <c r="B105" s="19" t="str">
        <f>RUBRICA!A6</f>
        <v>3. Responde las preguntas realizadas por la comisión, cumpliendo con los estándares de calidad de la disciplina.</v>
      </c>
      <c r="C105" s="17" t="s">
        <v>8</v>
      </c>
      <c r="D105" s="12"/>
      <c r="E105" s="12" t="str">
        <f>IF(D105="X",100*0.2,"")</f>
        <v/>
      </c>
      <c r="F105" s="12" t="s">
        <v>63</v>
      </c>
      <c r="G105" s="12">
        <f>IF(F105="X",60*0.2,"")</f>
        <v>12</v>
      </c>
      <c r="H105" s="12" t="str">
        <f t="shared" si="38"/>
        <v/>
      </c>
      <c r="I105" s="12" t="str">
        <f>IF(H105="X",30*0.2,"")</f>
        <v/>
      </c>
      <c r="J105" s="12" t="str">
        <f t="shared" si="39"/>
        <v/>
      </c>
      <c r="K105" s="12" t="str">
        <f t="shared" si="40"/>
        <v/>
      </c>
    </row>
    <row r="106" spans="1:11" ht="26.4" customHeight="1" x14ac:dyDescent="0.3">
      <c r="A106" s="41"/>
      <c r="B106" s="19" t="str">
        <f>RUBRICA!A7</f>
        <v>4. Expone el Proyecto APT, considerando el formato y el tiempo establecido para la presentación.</v>
      </c>
      <c r="C106" s="17" t="s">
        <v>8</v>
      </c>
      <c r="D106" s="12" t="str">
        <f t="shared" si="41"/>
        <v>X</v>
      </c>
      <c r="E106" s="12">
        <f>IF(D106="X",100*0.05,"")</f>
        <v>5</v>
      </c>
      <c r="F106" s="12" t="str">
        <f t="shared" si="42"/>
        <v/>
      </c>
      <c r="G106" s="12" t="str">
        <f>IF(F106="X",60*0.05,"")</f>
        <v/>
      </c>
      <c r="H106" s="12" t="str">
        <f t="shared" si="38"/>
        <v/>
      </c>
      <c r="I106" s="12" t="str">
        <f>IF(H106="X",30*0.05,"")</f>
        <v/>
      </c>
      <c r="J106" s="12" t="str">
        <f t="shared" si="39"/>
        <v/>
      </c>
      <c r="K106" s="12" t="str">
        <f t="shared" si="40"/>
        <v/>
      </c>
    </row>
    <row r="107" spans="1:11" ht="38.4" customHeight="1" x14ac:dyDescent="0.3">
      <c r="A107" s="41"/>
      <c r="B107" s="19" t="str">
        <f>RUBRICA!A8</f>
        <v>5. Expresa sus ideas con fluidez, claridad y precisión, utilizando lenguaje técnico propio de la disciplina.</v>
      </c>
      <c r="C107" s="17" t="s">
        <v>8</v>
      </c>
      <c r="D107" s="12" t="str">
        <f t="shared" si="41"/>
        <v>X</v>
      </c>
      <c r="E107" s="12">
        <f>IF(D107="X",100*0.05,"")</f>
        <v>5</v>
      </c>
      <c r="F107" s="12" t="str">
        <f t="shared" si="42"/>
        <v/>
      </c>
      <c r="G107" s="12" t="str">
        <f>IF(F107="X",60*0.05,"")</f>
        <v/>
      </c>
      <c r="H107" s="12" t="str">
        <f t="shared" si="38"/>
        <v/>
      </c>
      <c r="I107" s="12" t="str">
        <f>IF(H107="X",30*0.05,"")</f>
        <v/>
      </c>
      <c r="J107" s="12" t="str">
        <f t="shared" si="39"/>
        <v/>
      </c>
      <c r="K107" s="12" t="str">
        <f t="shared" si="40"/>
        <v/>
      </c>
    </row>
    <row r="108" spans="1:11" ht="27.6" customHeight="1" x14ac:dyDescent="0.3">
      <c r="A108" s="41"/>
      <c r="B108" s="19" t="str">
        <f>RUBRICA!A9</f>
        <v>6. Entrega la documentación y evidencias requerida por la asignatura de acuerdo a la estructura y nombres solicitados, guardando todas las evidencias de avances en Git</v>
      </c>
      <c r="C108" s="17" t="s">
        <v>8</v>
      </c>
      <c r="D108" s="12" t="s">
        <v>63</v>
      </c>
      <c r="E108" s="12">
        <f>IF(D108="X",100*0.2,"")</f>
        <v>20</v>
      </c>
      <c r="F108" s="12"/>
      <c r="G108" s="12" t="str">
        <f>IF(F108="X",60*0.2,"")</f>
        <v/>
      </c>
      <c r="H108" s="12" t="str">
        <f>IF($C108=ML,"X","")</f>
        <v/>
      </c>
      <c r="I108" s="12" t="str">
        <f>IF(H108="X",30*0.2,"")</f>
        <v/>
      </c>
      <c r="J108" s="12" t="str">
        <f>IF($C108=NL,"X","")</f>
        <v/>
      </c>
      <c r="K108" s="12" t="str">
        <f t="shared" si="40"/>
        <v/>
      </c>
    </row>
    <row r="109" spans="1:11" ht="33" customHeight="1" x14ac:dyDescent="0.3">
      <c r="A109" s="41"/>
      <c r="B109" s="19" t="str">
        <f>RUBRICA!A10</f>
        <v xml:space="preserve">7. Expone el tema utilizando un lenguaje técnico disciplinar al presentar la propuesta y responde evidenciando un manejo de la información. </v>
      </c>
      <c r="C109" s="17" t="s">
        <v>8</v>
      </c>
      <c r="D109" s="12" t="s">
        <v>63</v>
      </c>
      <c r="E109" s="12">
        <f>IF(D109="X",100*0.1,"")</f>
        <v>10</v>
      </c>
      <c r="F109" s="12" t="str">
        <f>IF($C109=L,"X","")</f>
        <v/>
      </c>
      <c r="G109" s="12" t="str">
        <f>IF(F109="X",60*0.1,"")</f>
        <v/>
      </c>
      <c r="H109" s="12" t="str">
        <f>IF($C109=ML,"X","")</f>
        <v/>
      </c>
      <c r="I109" s="12" t="str">
        <f>IF(H109="X",30*0.1,"")</f>
        <v/>
      </c>
      <c r="J109" s="12" t="str">
        <f>IF($C109=NL,"X","")</f>
        <v/>
      </c>
      <c r="K109" s="12" t="str">
        <f t="shared" si="40"/>
        <v/>
      </c>
    </row>
    <row r="110" spans="1:11" ht="24.6" customHeight="1" x14ac:dyDescent="0.35">
      <c r="A110" s="40"/>
      <c r="B110" s="18" t="s">
        <v>12</v>
      </c>
      <c r="C110" s="22">
        <f>E110+G110+I110+K110</f>
        <v>86</v>
      </c>
      <c r="D110" s="13"/>
      <c r="E110" s="13">
        <f>SUM(E103:E109)</f>
        <v>65</v>
      </c>
      <c r="F110" s="13"/>
      <c r="G110" s="13">
        <f>SUM(G103:G109)</f>
        <v>21</v>
      </c>
      <c r="H110" s="13"/>
      <c r="I110" s="13">
        <f>SUM(I103:I109)</f>
        <v>0</v>
      </c>
      <c r="J110" s="13"/>
      <c r="K110" s="13">
        <f>SUM(K103:K109)</f>
        <v>0</v>
      </c>
    </row>
    <row r="111" spans="1:11" ht="39.6" customHeight="1" x14ac:dyDescent="0.35">
      <c r="A111" s="42"/>
      <c r="B111" s="21" t="s">
        <v>13</v>
      </c>
      <c r="C111" s="14">
        <f>VLOOKUP(C110,ESCALA_IEP!A79:B279,2,FALSE)</f>
        <v>6</v>
      </c>
    </row>
    <row r="112" spans="1:11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</sheetData>
  <sheetProtection algorithmName="SHA-512" hashValue="K6G0R+EsMgch8R855CgWNtPbvXlOnTnOxe+6+5S7RogPZGRyk5w+bhc90XneS+jw3ztOvpYcxq1l0SQcLFsZ6w==" saltValue="fkdJGX9xQiS/IIQIB7l1Pw==" spinCount="100000" sheet="1" objects="1" scenarios="1"/>
  <mergeCells count="56">
    <mergeCell ref="A89:A99"/>
    <mergeCell ref="C89:C90"/>
    <mergeCell ref="D89:K89"/>
    <mergeCell ref="D90:E90"/>
    <mergeCell ref="F90:G90"/>
    <mergeCell ref="H90:I90"/>
    <mergeCell ref="J90:K90"/>
    <mergeCell ref="A76:A86"/>
    <mergeCell ref="C76:C77"/>
    <mergeCell ref="D76:K76"/>
    <mergeCell ref="D77:E77"/>
    <mergeCell ref="F77:G77"/>
    <mergeCell ref="H77:I77"/>
    <mergeCell ref="J77:K77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49:A59"/>
    <mergeCell ref="C49:C50"/>
    <mergeCell ref="D49:K49"/>
    <mergeCell ref="D50:E50"/>
    <mergeCell ref="F50:G50"/>
    <mergeCell ref="H50:I50"/>
    <mergeCell ref="J50:K50"/>
    <mergeCell ref="A101:A111"/>
    <mergeCell ref="C101:C102"/>
    <mergeCell ref="D101:K101"/>
    <mergeCell ref="D102:E102"/>
    <mergeCell ref="F102:G102"/>
    <mergeCell ref="H102:I102"/>
    <mergeCell ref="J102:K102"/>
  </mergeCells>
  <conditionalFormatting sqref="C4:C7">
    <cfRule type="cellIs" dxfId="1" priority="1" operator="lessThan">
      <formula>4</formula>
    </cfRule>
    <cfRule type="cellIs" dxfId="0" priority="2" operator="lessThan">
      <formula>1</formula>
    </cfRule>
  </conditionalFormatting>
  <dataValidations disablePrompts="1" count="1">
    <dataValidation type="decimal" allowBlank="1" showInputMessage="1" showErrorMessage="1" prompt="Error de Ingreso - Nota debe estar entre 1,0 y 7,0" sqref="C4:C7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C65:C71 C78:C84 C91:C97 C51:C57 C103:C109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zoomScale="80" zoomScaleNormal="80" workbookViewId="0">
      <selection activeCell="A4" sqref="A4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52" t="s">
        <v>17</v>
      </c>
      <c r="B1" s="54" t="s">
        <v>18</v>
      </c>
      <c r="C1" s="55"/>
      <c r="D1" s="55"/>
      <c r="E1" s="56"/>
      <c r="F1" s="52" t="s">
        <v>19</v>
      </c>
    </row>
    <row r="2" spans="1:6" x14ac:dyDescent="0.3">
      <c r="A2" s="53"/>
      <c r="B2" s="57" t="s">
        <v>20</v>
      </c>
      <c r="C2" s="57" t="s">
        <v>21</v>
      </c>
      <c r="D2" s="25" t="s">
        <v>22</v>
      </c>
      <c r="E2" s="26" t="s">
        <v>11</v>
      </c>
      <c r="F2" s="53"/>
    </row>
    <row r="3" spans="1:6" x14ac:dyDescent="0.3">
      <c r="A3" s="53"/>
      <c r="B3" s="58"/>
      <c r="C3" s="58"/>
      <c r="D3" s="27">
        <v>0.3</v>
      </c>
      <c r="E3" s="27">
        <v>0</v>
      </c>
      <c r="F3" s="53"/>
    </row>
    <row r="4" spans="1:6" ht="110.4" x14ac:dyDescent="0.3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4999999999999" customHeight="1" x14ac:dyDescent="0.3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3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96.6" x14ac:dyDescent="0.3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96.6" x14ac:dyDescent="0.3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96.6" x14ac:dyDescent="0.3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3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58</v>
      </c>
      <c r="B1" t="s">
        <v>59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9" t="s">
        <v>60</v>
      </c>
      <c r="B1" s="4" t="s">
        <v>12</v>
      </c>
      <c r="C1" s="5"/>
      <c r="D1" s="5"/>
      <c r="E1" s="6"/>
    </row>
    <row r="2" spans="1:5" ht="43.8" thickBot="1" x14ac:dyDescent="0.35">
      <c r="A2" s="60"/>
      <c r="B2" s="7" t="s">
        <v>8</v>
      </c>
      <c r="C2" s="8" t="s">
        <v>9</v>
      </c>
      <c r="D2" s="20" t="s">
        <v>61</v>
      </c>
      <c r="E2" s="38" t="s">
        <v>11</v>
      </c>
    </row>
    <row r="3" spans="1:5" ht="29.4" thickBot="1" x14ac:dyDescent="0.3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Lionel Pizarro M.</cp:lastModifiedBy>
  <cp:revision/>
  <dcterms:created xsi:type="dcterms:W3CDTF">2023-08-07T04:08:01Z</dcterms:created>
  <dcterms:modified xsi:type="dcterms:W3CDTF">2025-12-11T04:09:29Z</dcterms:modified>
  <cp:category/>
  <cp:contentStatus/>
</cp:coreProperties>
</file>